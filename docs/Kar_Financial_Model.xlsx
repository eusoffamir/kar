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sh Flow" sheetId="2" state="visible" r:id="rId2"/>
    <sheet name="Unit Economics" sheetId="3" state="visible" r:id="rId3"/>
    <sheet name="Capital Plan" sheetId="4" state="visible" r:id="rId4"/>
    <sheet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x&quot;"/>
    <numFmt numFmtId="165" formatCode="&quot;RM&quot;#,##0;(&quot;RM&quot;#,##0);-"/>
    <numFmt numFmtId="166" formatCode="0.0%;(0.0%);-"/>
    <numFmt numFmtId="167" formatCode="#,##0;(#,##0);-"/>
    <numFmt numFmtId="168" formatCode="&quot;RM&quot;#,##0.00;(&quot;RM&quot;#,##0.00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color rgb="00666666"/>
    </font>
    <font>
      <name val="Arial"/>
      <b val="1"/>
    </font>
    <font>
      <name val="Arial"/>
      <color rgb="00008000"/>
    </font>
    <font>
      <name val="Arial"/>
      <color rgb="00666666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FFF00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164" fontId="7" fillId="0" borderId="0" pivotButton="0" quotePrefix="0" xfId="0"/>
    <xf numFmtId="0" fontId="7" fillId="0" borderId="0" pivotButton="0" quotePrefix="0" xfId="0"/>
    <xf numFmtId="165" fontId="4" fillId="3" borderId="0" pivotButton="0" quotePrefix="0" xfId="0"/>
    <xf numFmtId="0" fontId="8" fillId="0" borderId="0" applyAlignment="1" pivotButton="0" quotePrefix="0" xfId="0">
      <alignment/>
    </xf>
    <xf numFmtId="166" fontId="4" fillId="3" borderId="0" pivotButton="0" quotePrefix="0" xfId="0"/>
    <xf numFmtId="0" fontId="8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65" fontId="6" fillId="0" borderId="1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9" fillId="4" borderId="0" pivotButton="0" quotePrefix="0" xfId="0"/>
    <xf numFmtId="0" fontId="3" fillId="0" borderId="0" pivotButton="0" quotePrefix="0" xfId="0"/>
    <xf numFmtId="167" fontId="9" fillId="0" borderId="0" pivotButton="0" quotePrefix="0" xfId="0"/>
    <xf numFmtId="168" fontId="9" fillId="0" borderId="0" pivotButton="0" quotePrefix="0" xfId="0"/>
    <xf numFmtId="165" fontId="9" fillId="0" borderId="0" pivotButton="0" quotePrefix="0" xfId="0"/>
    <xf numFmtId="0" fontId="6" fillId="4" borderId="0" pivotButton="0" quotePrefix="0" xfId="0"/>
    <xf numFmtId="165" fontId="6" fillId="0" borderId="0" pivotButton="0" quotePrefix="0" xfId="0"/>
    <xf numFmtId="168" fontId="7" fillId="0" borderId="0" pivotButton="0" quotePrefix="0" xfId="0"/>
    <xf numFmtId="168" fontId="6" fillId="0" borderId="1" pivotButton="0" quotePrefix="0" xfId="0"/>
    <xf numFmtId="165" fontId="7" fillId="0" borderId="0" pivotButton="0" quotePrefix="0" xfId="0"/>
    <xf numFmtId="167" fontId="7" fillId="0" borderId="0" pivotButton="0" quotePrefix="0" xfId="0"/>
    <xf numFmtId="165" fontId="3" fillId="0" borderId="0" pivotButton="0" quotePrefix="0" xfId="0"/>
    <xf numFmtId="165" fontId="6" fillId="3" borderId="1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Running cash position (RM)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Flow'!$B$4:$N$4</f>
            </numRef>
          </cat>
          <val>
            <numRef>
              <f>'Cash Flow'!$B$20:$N$20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Kar: financial model assumptions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Legend: blue = input you can change · black = formula · green = pulled from another sheet · yellow = key assumption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Active scenario</t>
        </is>
      </c>
      <c r="B3" s="5" t="inlineStr">
        <is>
          <t>Base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Trips multiplier</t>
        </is>
      </c>
      <c r="B4" s="6">
        <f>INDEX(Scenarios!$B$5:$B$7,MATCH($B$3,Scenarios!$A$5:$A$7,0))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Pro operators multiplier</t>
        </is>
      </c>
      <c r="B5" s="6">
        <f>INDEX(Scenarios!$C$5:$C$7,MATCH($B$3,Scenarios!$A$5:$A$7,0))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Hardware multiplier</t>
        </is>
      </c>
      <c r="B6" s="6">
        <f>INDEX(Scenarios!$D$5:$D$7,MATCH($B$3,Scenarios!$A$5:$A$7,0))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Lean fixed costs (1 = yes)</t>
        </is>
      </c>
      <c r="B7" s="7">
        <f>INDEX(Scenarios!$E$5:$E$7,MATCH($B$3,Scenarios!$A$5:$A$7,0))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Register Sdn Bhd (1 = yes)</t>
        </is>
      </c>
      <c r="B8" s="7">
        <f>INDEX(Scenarios!$F$5:$F$7,MATCH($B$3,Scenarios!$A$5:$A$7,0))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4" t="inlineStr">
        <is>
          <t>Pricing and per-trip economics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Average trip price (RM)</t>
        </is>
      </c>
      <c r="B11" s="8" t="n">
        <v>80</v>
      </c>
      <c r="C11" s="9" t="inlineStr">
        <is>
          <t>Mix of 4h (~RM36), day (~RM75) and 2-3 day home trips (~RM150-210). Kar estimate; replace with real average after 50 trips.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Customer booking fee (% of trip)</t>
        </is>
      </c>
      <c r="B12" s="10" t="n">
        <v>0.05</v>
      </c>
      <c r="C12" s="11" t="inlineStr">
        <is>
          <t>Set in the app (platform_settings.customer_fee_rate).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Minimum booking fee (RM)</t>
        </is>
      </c>
      <c r="B13" s="12" t="n">
        <v>3</v>
      </c>
      <c r="C13" s="11" t="inlineStr">
        <is>
          <t>So short trips do not lose money after gateway fees.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Pro commission on Kar-brought app bookings (%)</t>
        </is>
      </c>
      <c r="B14" s="10" t="n">
        <v>0.05</v>
      </c>
      <c r="C14" s="11" t="inlineStr">
        <is>
          <t>Price not final. 0% on the operator's own WhatsApp bookings.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Commission starts in month</t>
        </is>
      </c>
      <c r="B15" s="13" t="n">
        <v>4</v>
      </c>
      <c r="C15" s="11" t="inlineStr">
        <is>
          <t>Months 1-3 are the pilot (commission waived).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Small fees Kar keeps per trip (RM)</t>
        </is>
      </c>
      <c r="B16" s="14" t="n">
        <v>1.4</v>
      </c>
      <c r="C16" s="11" t="inlineStr">
        <is>
          <t>Late-fee share RM0.50 + claim handling (3 per 100 trips x RM30) RM0.90.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Payment gateway cost per trip (RM)</t>
        </is>
      </c>
      <c r="B17" s="14" t="n">
        <v>2</v>
      </c>
      <c r="C17" s="11" t="inlineStr">
        <is>
          <t>Billplz FPX ~RM1-1.50 per bill, plus a buffer.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Goodwill / bad-debt reserve (% of trip)</t>
        </is>
      </c>
      <c r="B18" s="15" t="n">
        <v>0.01</v>
      </c>
      <c r="C18" s="11" t="inlineStr">
        <is>
          <t>Credits and unrecoverable amounts.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Pro subscription (RM/month per operator)</t>
        </is>
      </c>
      <c r="B19" s="8" t="n">
        <v>149</v>
      </c>
      <c r="C19" s="11" t="inlineStr">
        <is>
          <t>Price not final; test RM99-199 in operator interviews.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Key box profit per unit (RM)</t>
        </is>
      </c>
      <c r="B20" s="12" t="n">
        <v>150</v>
      </c>
      <c r="C20" s="11" t="inlineStr">
        <is>
          <t>Sold installed at ~RM299, costs ~RM149.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GPS tracker profit per unit (RM)</t>
        </is>
      </c>
      <c r="B21" s="12" t="n">
        <v>150</v>
      </c>
      <c r="C21" s="11" t="inlineStr">
        <is>
          <t>From month 7.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GPS tracker subscription profit (RM/month per tracker)</t>
        </is>
      </c>
      <c r="B22" s="12" t="n">
        <v>10</v>
      </c>
      <c r="C22" s="11" t="inlineStr">
        <is>
          <t>Data SIM resale margin.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4" t="inlineStr">
        <is>
          <t>One-off costs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Lawyer-checked terms, house rules, privacy policy</t>
        </is>
      </c>
      <c r="B25" s="12" t="n">
        <v>2000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Apple developer account (USD 99/yr)</t>
        </is>
      </c>
      <c r="B26" s="12" t="n">
        <v>450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Google Play account (one-time)</t>
        </is>
      </c>
      <c r="B27" s="12" t="n">
        <v>110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SSM renewal and adding the business activity</t>
        </is>
      </c>
      <c r="B28" s="12" t="n">
        <v>100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Launch marketing (posters, campus booth)</t>
        </is>
      </c>
      <c r="B29" s="12" t="n">
        <v>800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First 5 key boxes (earned back as they sell)</t>
        </is>
      </c>
      <c r="B30" s="12" t="n">
        <v>750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Starting claims reserve</t>
        </is>
      </c>
      <c r="B31" s="12" t="n">
        <v>1000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4" t="inlineStr">
        <is>
          <t>Total start-up costs (month 0)</t>
        </is>
      </c>
      <c r="B32" s="16">
        <f>SUM(B25:B31)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Sdn Bhd registration (RM)</t>
        </is>
      </c>
      <c r="B33" s="12" t="n">
        <v>1500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inlineStr">
        <is>
          <t>Register Sdn Bhd in month</t>
        </is>
      </c>
      <c r="B34" s="17" t="n">
        <v>7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4" t="inlineStr">
        <is>
          <t>Monthly drivers (Base case, before scenario multipliers)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18" t="inlineStr">
        <is>
          <t>Driver</t>
        </is>
      </c>
      <c r="B37" s="19" t="inlineStr">
        <is>
          <t>M1</t>
        </is>
      </c>
      <c r="C37" s="19" t="inlineStr">
        <is>
          <t>M2</t>
        </is>
      </c>
      <c r="D37" s="19" t="inlineStr">
        <is>
          <t>M3</t>
        </is>
      </c>
      <c r="E37" s="19" t="inlineStr">
        <is>
          <t>M4</t>
        </is>
      </c>
      <c r="F37" s="19" t="inlineStr">
        <is>
          <t>M5</t>
        </is>
      </c>
      <c r="G37" s="19" t="inlineStr">
        <is>
          <t>M6</t>
        </is>
      </c>
      <c r="H37" s="19" t="inlineStr">
        <is>
          <t>M7</t>
        </is>
      </c>
      <c r="I37" s="19" t="inlineStr">
        <is>
          <t>M8</t>
        </is>
      </c>
      <c r="J37" s="19" t="inlineStr">
        <is>
          <t>M9</t>
        </is>
      </c>
      <c r="K37" s="19" t="inlineStr">
        <is>
          <t>M10</t>
        </is>
      </c>
      <c r="L37" s="19" t="inlineStr">
        <is>
          <t>M11</t>
        </is>
      </c>
      <c r="M37" s="19" t="inlineStr">
        <is>
          <t>M12</t>
        </is>
      </c>
    </row>
    <row r="38">
      <c r="A38" s="2" t="inlineStr">
        <is>
          <t>App trips</t>
        </is>
      </c>
      <c r="B38" s="13" t="n">
        <v>40</v>
      </c>
      <c r="C38" s="13" t="n">
        <v>80</v>
      </c>
      <c r="D38" s="13" t="n">
        <v>130</v>
      </c>
      <c r="E38" s="13" t="n">
        <v>180</v>
      </c>
      <c r="F38" s="13" t="n">
        <v>230</v>
      </c>
      <c r="G38" s="13" t="n">
        <v>280</v>
      </c>
      <c r="H38" s="13" t="n">
        <v>330</v>
      </c>
      <c r="I38" s="13" t="n">
        <v>380</v>
      </c>
      <c r="J38" s="13" t="n">
        <v>420</v>
      </c>
      <c r="K38" s="13" t="n">
        <v>460</v>
      </c>
      <c r="L38" s="13" t="n">
        <v>500</v>
      </c>
      <c r="M38" s="13" t="n">
        <v>540</v>
      </c>
    </row>
    <row r="39">
      <c r="A39" s="2" t="inlineStr">
        <is>
          <t>Paying Pro operators</t>
        </is>
      </c>
      <c r="B39" s="13" t="n">
        <v>0</v>
      </c>
      <c r="C39" s="13" t="n">
        <v>3</v>
      </c>
      <c r="D39" s="13" t="n">
        <v>5</v>
      </c>
      <c r="E39" s="13" t="n">
        <v>6</v>
      </c>
      <c r="F39" s="13" t="n">
        <v>7</v>
      </c>
      <c r="G39" s="13" t="n">
        <v>8</v>
      </c>
      <c r="H39" s="13" t="n">
        <v>10</v>
      </c>
      <c r="I39" s="13" t="n">
        <v>11</v>
      </c>
      <c r="J39" s="13" t="n">
        <v>12</v>
      </c>
      <c r="K39" s="13" t="n">
        <v>13</v>
      </c>
      <c r="L39" s="13" t="n">
        <v>14</v>
      </c>
      <c r="M39" s="13" t="n">
        <v>15</v>
      </c>
    </row>
    <row r="40">
      <c r="A40" s="2" t="inlineStr">
        <is>
          <t>Key boxes sold</t>
        </is>
      </c>
      <c r="B40" s="13" t="n">
        <v>0</v>
      </c>
      <c r="C40" s="13" t="n">
        <v>2</v>
      </c>
      <c r="D40" s="13" t="n">
        <v>3</v>
      </c>
      <c r="E40" s="13" t="n">
        <v>3</v>
      </c>
      <c r="F40" s="13" t="n">
        <v>3</v>
      </c>
      <c r="G40" s="13" t="n">
        <v>3</v>
      </c>
      <c r="H40" s="13" t="n">
        <v>4</v>
      </c>
      <c r="I40" s="13" t="n">
        <v>4</v>
      </c>
      <c r="J40" s="13" t="n">
        <v>4</v>
      </c>
      <c r="K40" s="13" t="n">
        <v>4</v>
      </c>
      <c r="L40" s="13" t="n">
        <v>4</v>
      </c>
      <c r="M40" s="13" t="n">
        <v>4</v>
      </c>
    </row>
    <row r="41">
      <c r="A41" s="2" t="inlineStr">
        <is>
          <t>GPS trackers sold</t>
        </is>
      </c>
      <c r="B41" s="13" t="n">
        <v>0</v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2</v>
      </c>
      <c r="I41" s="13" t="n">
        <v>2</v>
      </c>
      <c r="J41" s="13" t="n">
        <v>2</v>
      </c>
      <c r="K41" s="13" t="n">
        <v>2</v>
      </c>
      <c r="L41" s="13" t="n">
        <v>2</v>
      </c>
      <c r="M41" s="13" t="n">
        <v>2</v>
      </c>
    </row>
    <row r="42">
      <c r="A42" s="2" t="inlineStr">
        <is>
          <t>Fixed costs, normal (RM)</t>
        </is>
      </c>
      <c r="B42" s="12" t="n">
        <v>900</v>
      </c>
      <c r="C42" s="12" t="n">
        <v>900</v>
      </c>
      <c r="D42" s="12" t="n">
        <v>900</v>
      </c>
      <c r="E42" s="12" t="n">
        <v>1800</v>
      </c>
      <c r="F42" s="12" t="n">
        <v>1800</v>
      </c>
      <c r="G42" s="12" t="n">
        <v>1800</v>
      </c>
      <c r="H42" s="12" t="n">
        <v>3450</v>
      </c>
      <c r="I42" s="12" t="n">
        <v>3450</v>
      </c>
      <c r="J42" s="12" t="n">
        <v>3450</v>
      </c>
      <c r="K42" s="12" t="n">
        <v>3450</v>
      </c>
      <c r="L42" s="12" t="n">
        <v>3450</v>
      </c>
      <c r="M42" s="12" t="n">
        <v>3450</v>
      </c>
    </row>
    <row r="43">
      <c r="A43" s="2" t="inlineStr">
        <is>
          <t>Fixed costs, lean (RM)</t>
        </is>
      </c>
      <c r="B43" s="12" t="n">
        <v>900</v>
      </c>
      <c r="C43" s="12" t="n">
        <v>900</v>
      </c>
      <c r="D43" s="12" t="n">
        <v>900</v>
      </c>
      <c r="E43" s="12" t="n">
        <v>900</v>
      </c>
      <c r="F43" s="12" t="n">
        <v>900</v>
      </c>
      <c r="G43" s="12" t="n">
        <v>900</v>
      </c>
      <c r="H43" s="12" t="n">
        <v>1800</v>
      </c>
      <c r="I43" s="12" t="n">
        <v>1800</v>
      </c>
      <c r="J43" s="12" t="n">
        <v>1800</v>
      </c>
      <c r="K43" s="12" t="n">
        <v>1800</v>
      </c>
      <c r="L43" s="12" t="n">
        <v>1800</v>
      </c>
      <c r="M43" s="12" t="n">
        <v>1800</v>
      </c>
    </row>
    <row r="44" ht="32" customHeight="1">
      <c r="A44" s="20" t="inlineStr">
        <is>
          <t>UTP only in months 1-6; UiTM Seri Iskandar added in month 7. Fixed costs: software, marketing, part-time support, phone, company admin, contingency. No founder salary in year 1. Source: Kar planning estimates, Oct 2026.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</sheetData>
  <mergeCells count="1">
    <mergeCell ref="A44:M44"/>
  </mergeCells>
  <dataValidations count="1">
    <dataValidation sqref="B3" showDropDown="0" showInputMessage="0" showErrorMessage="0" allowBlank="0" type="list">
      <formula1>"Worst,Base,Best"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Monthly cash flow (RM)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7">
        <f>"Scenario: "&amp;Assumptions!B3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8" t="inlineStr">
        <is>
          <t>Line</t>
        </is>
      </c>
      <c r="B3" s="19" t="inlineStr">
        <is>
          <t>Month 0</t>
        </is>
      </c>
      <c r="C3" s="19" t="inlineStr">
        <is>
          <t>Month 1</t>
        </is>
      </c>
      <c r="D3" s="19" t="inlineStr">
        <is>
          <t>Month 2</t>
        </is>
      </c>
      <c r="E3" s="19" t="inlineStr">
        <is>
          <t>Month 3</t>
        </is>
      </c>
      <c r="F3" s="19" t="inlineStr">
        <is>
          <t>Month 4</t>
        </is>
      </c>
      <c r="G3" s="19" t="inlineStr">
        <is>
          <t>Month 5</t>
        </is>
      </c>
      <c r="H3" s="19" t="inlineStr">
        <is>
          <t>Month 6</t>
        </is>
      </c>
      <c r="I3" s="19" t="inlineStr">
        <is>
          <t>Month 7</t>
        </is>
      </c>
      <c r="J3" s="19" t="inlineStr">
        <is>
          <t>Month 8</t>
        </is>
      </c>
      <c r="K3" s="19" t="inlineStr">
        <is>
          <t>Month 9</t>
        </is>
      </c>
      <c r="L3" s="19" t="inlineStr">
        <is>
          <t>Month 10</t>
        </is>
      </c>
      <c r="M3" s="19" t="inlineStr">
        <is>
          <t>Month 11</t>
        </is>
      </c>
      <c r="N3" s="19" t="inlineStr">
        <is>
          <t>Month 12</t>
        </is>
      </c>
      <c r="O3" s="19" t="inlineStr">
        <is>
          <t>Year 1</t>
        </is>
      </c>
    </row>
    <row r="4">
      <c r="A4" s="21" t="inlineStr">
        <is>
          <t>Month</t>
        </is>
      </c>
      <c r="B4" s="22" t="n">
        <v>0</v>
      </c>
      <c r="C4" s="22" t="n">
        <v>1</v>
      </c>
      <c r="D4" s="22" t="n">
        <v>2</v>
      </c>
      <c r="E4" s="22" t="n">
        <v>3</v>
      </c>
      <c r="F4" s="22" t="n">
        <v>4</v>
      </c>
      <c r="G4" s="22" t="n">
        <v>5</v>
      </c>
      <c r="H4" s="22" t="n">
        <v>6</v>
      </c>
      <c r="I4" s="22" t="n">
        <v>7</v>
      </c>
      <c r="J4" s="22" t="n">
        <v>8</v>
      </c>
      <c r="K4" s="22" t="n">
        <v>9</v>
      </c>
      <c r="L4" s="22" t="n">
        <v>10</v>
      </c>
      <c r="M4" s="22" t="n">
        <v>11</v>
      </c>
      <c r="N4" s="22" t="n">
        <v>12</v>
      </c>
      <c r="O4" s="2" t="n"/>
    </row>
    <row r="5">
      <c r="A5" s="21" t="inlineStr">
        <is>
          <t>App trips</t>
        </is>
      </c>
      <c r="B5" s="23" t="n"/>
      <c r="C5" s="23">
        <f>Assumptions!B$38*Assumptions!$B$4</f>
        <v/>
      </c>
      <c r="D5" s="23">
        <f>Assumptions!C$38*Assumptions!$B$4</f>
        <v/>
      </c>
      <c r="E5" s="23">
        <f>Assumptions!D$38*Assumptions!$B$4</f>
        <v/>
      </c>
      <c r="F5" s="23">
        <f>Assumptions!E$38*Assumptions!$B$4</f>
        <v/>
      </c>
      <c r="G5" s="23">
        <f>Assumptions!F$38*Assumptions!$B$4</f>
        <v/>
      </c>
      <c r="H5" s="23">
        <f>Assumptions!G$38*Assumptions!$B$4</f>
        <v/>
      </c>
      <c r="I5" s="23">
        <f>Assumptions!H$38*Assumptions!$B$4</f>
        <v/>
      </c>
      <c r="J5" s="23">
        <f>Assumptions!I$38*Assumptions!$B$4</f>
        <v/>
      </c>
      <c r="K5" s="23">
        <f>Assumptions!J$38*Assumptions!$B$4</f>
        <v/>
      </c>
      <c r="L5" s="23">
        <f>Assumptions!K$38*Assumptions!$B$4</f>
        <v/>
      </c>
      <c r="M5" s="23">
        <f>Assumptions!L$38*Assumptions!$B$4</f>
        <v/>
      </c>
      <c r="N5" s="23">
        <f>Assumptions!M$38*Assumptions!$B$4</f>
        <v/>
      </c>
      <c r="O5" s="23">
        <f>SUM(B5:N5)</f>
        <v/>
      </c>
    </row>
    <row r="6">
      <c r="A6" s="21" t="inlineStr">
        <is>
          <t>Booking fee per trip</t>
        </is>
      </c>
      <c r="B6" s="24" t="n"/>
      <c r="C6" s="24">
        <f>MAX(Assumptions!$B$11*Assumptions!$B$12,Assumptions!$B$13)</f>
        <v/>
      </c>
      <c r="D6" s="24">
        <f>MAX(Assumptions!$B$11*Assumptions!$B$12,Assumptions!$B$13)</f>
        <v/>
      </c>
      <c r="E6" s="24">
        <f>MAX(Assumptions!$B$11*Assumptions!$B$12,Assumptions!$B$13)</f>
        <v/>
      </c>
      <c r="F6" s="24">
        <f>MAX(Assumptions!$B$11*Assumptions!$B$12,Assumptions!$B$13)</f>
        <v/>
      </c>
      <c r="G6" s="24">
        <f>MAX(Assumptions!$B$11*Assumptions!$B$12,Assumptions!$B$13)</f>
        <v/>
      </c>
      <c r="H6" s="24">
        <f>MAX(Assumptions!$B$11*Assumptions!$B$12,Assumptions!$B$13)</f>
        <v/>
      </c>
      <c r="I6" s="24">
        <f>MAX(Assumptions!$B$11*Assumptions!$B$12,Assumptions!$B$13)</f>
        <v/>
      </c>
      <c r="J6" s="24">
        <f>MAX(Assumptions!$B$11*Assumptions!$B$12,Assumptions!$B$13)</f>
        <v/>
      </c>
      <c r="K6" s="24">
        <f>MAX(Assumptions!$B$11*Assumptions!$B$12,Assumptions!$B$13)</f>
        <v/>
      </c>
      <c r="L6" s="24">
        <f>MAX(Assumptions!$B$11*Assumptions!$B$12,Assumptions!$B$13)</f>
        <v/>
      </c>
      <c r="M6" s="24">
        <f>MAX(Assumptions!$B$11*Assumptions!$B$12,Assumptions!$B$13)</f>
        <v/>
      </c>
      <c r="N6" s="24">
        <f>MAX(Assumptions!$B$11*Assumptions!$B$12,Assumptions!$B$13)</f>
        <v/>
      </c>
      <c r="O6" s="24" t="n"/>
    </row>
    <row r="7">
      <c r="A7" s="21" t="inlineStr">
        <is>
          <t>Commission per trip</t>
        </is>
      </c>
      <c r="B7" s="24" t="n"/>
      <c r="C7" s="24">
        <f>IF(C$4&gt;=Assumptions!$B$15,Assumptions!$B$11*Assumptions!$B$14,0)</f>
        <v/>
      </c>
      <c r="D7" s="24">
        <f>IF(D$4&gt;=Assumptions!$B$15,Assumptions!$B$11*Assumptions!$B$14,0)</f>
        <v/>
      </c>
      <c r="E7" s="24">
        <f>IF(E$4&gt;=Assumptions!$B$15,Assumptions!$B$11*Assumptions!$B$14,0)</f>
        <v/>
      </c>
      <c r="F7" s="24">
        <f>IF(F$4&gt;=Assumptions!$B$15,Assumptions!$B$11*Assumptions!$B$14,0)</f>
        <v/>
      </c>
      <c r="G7" s="24">
        <f>IF(G$4&gt;=Assumptions!$B$15,Assumptions!$B$11*Assumptions!$B$14,0)</f>
        <v/>
      </c>
      <c r="H7" s="24">
        <f>IF(H$4&gt;=Assumptions!$B$15,Assumptions!$B$11*Assumptions!$B$14,0)</f>
        <v/>
      </c>
      <c r="I7" s="24">
        <f>IF(I$4&gt;=Assumptions!$B$15,Assumptions!$B$11*Assumptions!$B$14,0)</f>
        <v/>
      </c>
      <c r="J7" s="24">
        <f>IF(J$4&gt;=Assumptions!$B$15,Assumptions!$B$11*Assumptions!$B$14,0)</f>
        <v/>
      </c>
      <c r="K7" s="24">
        <f>IF(K$4&gt;=Assumptions!$B$15,Assumptions!$B$11*Assumptions!$B$14,0)</f>
        <v/>
      </c>
      <c r="L7" s="24">
        <f>IF(L$4&gt;=Assumptions!$B$15,Assumptions!$B$11*Assumptions!$B$14,0)</f>
        <v/>
      </c>
      <c r="M7" s="24">
        <f>IF(M$4&gt;=Assumptions!$B$15,Assumptions!$B$11*Assumptions!$B$14,0)</f>
        <v/>
      </c>
      <c r="N7" s="24">
        <f>IF(N$4&gt;=Assumptions!$B$15,Assumptions!$B$11*Assumptions!$B$14,0)</f>
        <v/>
      </c>
      <c r="O7" s="24" t="n"/>
    </row>
    <row r="8">
      <c r="A8" s="21" t="inlineStr">
        <is>
          <t>Kar keeps per trip</t>
        </is>
      </c>
      <c r="B8" s="24" t="n"/>
      <c r="C8" s="24">
        <f>C6+C7+Assumptions!$B$16-Assumptions!$B$17-Assumptions!$B$11*Assumptions!$B$18</f>
        <v/>
      </c>
      <c r="D8" s="24">
        <f>D6+D7+Assumptions!$B$16-Assumptions!$B$17-Assumptions!$B$11*Assumptions!$B$18</f>
        <v/>
      </c>
      <c r="E8" s="24">
        <f>E6+E7+Assumptions!$B$16-Assumptions!$B$17-Assumptions!$B$11*Assumptions!$B$18</f>
        <v/>
      </c>
      <c r="F8" s="24">
        <f>F6+F7+Assumptions!$B$16-Assumptions!$B$17-Assumptions!$B$11*Assumptions!$B$18</f>
        <v/>
      </c>
      <c r="G8" s="24">
        <f>G6+G7+Assumptions!$B$16-Assumptions!$B$17-Assumptions!$B$11*Assumptions!$B$18</f>
        <v/>
      </c>
      <c r="H8" s="24">
        <f>H6+H7+Assumptions!$B$16-Assumptions!$B$17-Assumptions!$B$11*Assumptions!$B$18</f>
        <v/>
      </c>
      <c r="I8" s="24">
        <f>I6+I7+Assumptions!$B$16-Assumptions!$B$17-Assumptions!$B$11*Assumptions!$B$18</f>
        <v/>
      </c>
      <c r="J8" s="24">
        <f>J6+J7+Assumptions!$B$16-Assumptions!$B$17-Assumptions!$B$11*Assumptions!$B$18</f>
        <v/>
      </c>
      <c r="K8" s="24">
        <f>K6+K7+Assumptions!$B$16-Assumptions!$B$17-Assumptions!$B$11*Assumptions!$B$18</f>
        <v/>
      </c>
      <c r="L8" s="24">
        <f>L6+L7+Assumptions!$B$16-Assumptions!$B$17-Assumptions!$B$11*Assumptions!$B$18</f>
        <v/>
      </c>
      <c r="M8" s="24">
        <f>M6+M7+Assumptions!$B$16-Assumptions!$B$17-Assumptions!$B$11*Assumptions!$B$18</f>
        <v/>
      </c>
      <c r="N8" s="24">
        <f>N6+N7+Assumptions!$B$16-Assumptions!$B$17-Assumptions!$B$11*Assumptions!$B$18</f>
        <v/>
      </c>
      <c r="O8" s="24" t="n"/>
    </row>
    <row r="9">
      <c r="A9" s="21" t="inlineStr">
        <is>
          <t>Revenue from trips</t>
        </is>
      </c>
      <c r="B9" s="25" t="n"/>
      <c r="C9" s="25">
        <f>C5*C8</f>
        <v/>
      </c>
      <c r="D9" s="25">
        <f>D5*D8</f>
        <v/>
      </c>
      <c r="E9" s="25">
        <f>E5*E8</f>
        <v/>
      </c>
      <c r="F9" s="25">
        <f>F5*F8</f>
        <v/>
      </c>
      <c r="G9" s="25">
        <f>G5*G8</f>
        <v/>
      </c>
      <c r="H9" s="25">
        <f>H5*H8</f>
        <v/>
      </c>
      <c r="I9" s="25">
        <f>I5*I8</f>
        <v/>
      </c>
      <c r="J9" s="25">
        <f>J5*J8</f>
        <v/>
      </c>
      <c r="K9" s="25">
        <f>K5*K8</f>
        <v/>
      </c>
      <c r="L9" s="25">
        <f>L5*L8</f>
        <v/>
      </c>
      <c r="M9" s="25">
        <f>M5*M8</f>
        <v/>
      </c>
      <c r="N9" s="25">
        <f>N5*N8</f>
        <v/>
      </c>
      <c r="O9" s="25">
        <f>SUM(B9:N9)</f>
        <v/>
      </c>
    </row>
    <row r="10">
      <c r="A10" s="21" t="inlineStr">
        <is>
          <t>Paying Pro operators</t>
        </is>
      </c>
      <c r="B10" s="23" t="n"/>
      <c r="C10" s="23">
        <f>ROUNDDOWN(Assumptions!B$39*Assumptions!$B$5,0)</f>
        <v/>
      </c>
      <c r="D10" s="23">
        <f>ROUNDDOWN(Assumptions!C$39*Assumptions!$B$5,0)</f>
        <v/>
      </c>
      <c r="E10" s="23">
        <f>ROUNDDOWN(Assumptions!D$39*Assumptions!$B$5,0)</f>
        <v/>
      </c>
      <c r="F10" s="23">
        <f>ROUNDDOWN(Assumptions!E$39*Assumptions!$B$5,0)</f>
        <v/>
      </c>
      <c r="G10" s="23">
        <f>ROUNDDOWN(Assumptions!F$39*Assumptions!$B$5,0)</f>
        <v/>
      </c>
      <c r="H10" s="23">
        <f>ROUNDDOWN(Assumptions!G$39*Assumptions!$B$5,0)</f>
        <v/>
      </c>
      <c r="I10" s="23">
        <f>ROUNDDOWN(Assumptions!H$39*Assumptions!$B$5,0)</f>
        <v/>
      </c>
      <c r="J10" s="23">
        <f>ROUNDDOWN(Assumptions!I$39*Assumptions!$B$5,0)</f>
        <v/>
      </c>
      <c r="K10" s="23">
        <f>ROUNDDOWN(Assumptions!J$39*Assumptions!$B$5,0)</f>
        <v/>
      </c>
      <c r="L10" s="23">
        <f>ROUNDDOWN(Assumptions!K$39*Assumptions!$B$5,0)</f>
        <v/>
      </c>
      <c r="M10" s="23">
        <f>ROUNDDOWN(Assumptions!L$39*Assumptions!$B$5,0)</f>
        <v/>
      </c>
      <c r="N10" s="23">
        <f>ROUNDDOWN(Assumptions!M$39*Assumptions!$B$5,0)</f>
        <v/>
      </c>
      <c r="O10" s="23" t="n"/>
    </row>
    <row r="11">
      <c r="A11" s="21" t="inlineStr">
        <is>
          <t>Pro subscriptions</t>
        </is>
      </c>
      <c r="B11" s="25" t="n"/>
      <c r="C11" s="25">
        <f>C10*Assumptions!$B$19</f>
        <v/>
      </c>
      <c r="D11" s="25">
        <f>D10*Assumptions!$B$19</f>
        <v/>
      </c>
      <c r="E11" s="25">
        <f>E10*Assumptions!$B$19</f>
        <v/>
      </c>
      <c r="F11" s="25">
        <f>F10*Assumptions!$B$19</f>
        <v/>
      </c>
      <c r="G11" s="25">
        <f>G10*Assumptions!$B$19</f>
        <v/>
      </c>
      <c r="H11" s="25">
        <f>H10*Assumptions!$B$19</f>
        <v/>
      </c>
      <c r="I11" s="25">
        <f>I10*Assumptions!$B$19</f>
        <v/>
      </c>
      <c r="J11" s="25">
        <f>J10*Assumptions!$B$19</f>
        <v/>
      </c>
      <c r="K11" s="25">
        <f>K10*Assumptions!$B$19</f>
        <v/>
      </c>
      <c r="L11" s="25">
        <f>L10*Assumptions!$B$19</f>
        <v/>
      </c>
      <c r="M11" s="25">
        <f>M10*Assumptions!$B$19</f>
        <v/>
      </c>
      <c r="N11" s="25">
        <f>N10*Assumptions!$B$19</f>
        <v/>
      </c>
      <c r="O11" s="25">
        <f>SUM(B11:N11)</f>
        <v/>
      </c>
    </row>
    <row r="12">
      <c r="A12" s="21" t="inlineStr">
        <is>
          <t>Key boxes sold</t>
        </is>
      </c>
      <c r="B12" s="23" t="n"/>
      <c r="C12" s="23">
        <f>ROUNDDOWN(Assumptions!B$40*Assumptions!$B$6,0)</f>
        <v/>
      </c>
      <c r="D12" s="23">
        <f>ROUNDDOWN(Assumptions!C$40*Assumptions!$B$6,0)</f>
        <v/>
      </c>
      <c r="E12" s="23">
        <f>ROUNDDOWN(Assumptions!D$40*Assumptions!$B$6,0)</f>
        <v/>
      </c>
      <c r="F12" s="23">
        <f>ROUNDDOWN(Assumptions!E$40*Assumptions!$B$6,0)</f>
        <v/>
      </c>
      <c r="G12" s="23">
        <f>ROUNDDOWN(Assumptions!F$40*Assumptions!$B$6,0)</f>
        <v/>
      </c>
      <c r="H12" s="23">
        <f>ROUNDDOWN(Assumptions!G$40*Assumptions!$B$6,0)</f>
        <v/>
      </c>
      <c r="I12" s="23">
        <f>ROUNDDOWN(Assumptions!H$40*Assumptions!$B$6,0)</f>
        <v/>
      </c>
      <c r="J12" s="23">
        <f>ROUNDDOWN(Assumptions!I$40*Assumptions!$B$6,0)</f>
        <v/>
      </c>
      <c r="K12" s="23">
        <f>ROUNDDOWN(Assumptions!J$40*Assumptions!$B$6,0)</f>
        <v/>
      </c>
      <c r="L12" s="23">
        <f>ROUNDDOWN(Assumptions!K$40*Assumptions!$B$6,0)</f>
        <v/>
      </c>
      <c r="M12" s="23">
        <f>ROUNDDOWN(Assumptions!L$40*Assumptions!$B$6,0)</f>
        <v/>
      </c>
      <c r="N12" s="23">
        <f>ROUNDDOWN(Assumptions!M$40*Assumptions!$B$6,0)</f>
        <v/>
      </c>
      <c r="O12" s="23">
        <f>SUM(B12:N12)</f>
        <v/>
      </c>
    </row>
    <row r="13">
      <c r="A13" s="21" t="inlineStr">
        <is>
          <t>GPS trackers sold</t>
        </is>
      </c>
      <c r="B13" s="23" t="n"/>
      <c r="C13" s="23">
        <f>IF(Assumptions!B$41&gt;0,MAX(1,ROUNDDOWN(Assumptions!B$41*Assumptions!$B$6,0)),0)</f>
        <v/>
      </c>
      <c r="D13" s="23">
        <f>IF(Assumptions!C$41&gt;0,MAX(1,ROUNDDOWN(Assumptions!C$41*Assumptions!$B$6,0)),0)</f>
        <v/>
      </c>
      <c r="E13" s="23">
        <f>IF(Assumptions!D$41&gt;0,MAX(1,ROUNDDOWN(Assumptions!D$41*Assumptions!$B$6,0)),0)</f>
        <v/>
      </c>
      <c r="F13" s="23">
        <f>IF(Assumptions!E$41&gt;0,MAX(1,ROUNDDOWN(Assumptions!E$41*Assumptions!$B$6,0)),0)</f>
        <v/>
      </c>
      <c r="G13" s="23">
        <f>IF(Assumptions!F$41&gt;0,MAX(1,ROUNDDOWN(Assumptions!F$41*Assumptions!$B$6,0)),0)</f>
        <v/>
      </c>
      <c r="H13" s="23">
        <f>IF(Assumptions!G$41&gt;0,MAX(1,ROUNDDOWN(Assumptions!G$41*Assumptions!$B$6,0)),0)</f>
        <v/>
      </c>
      <c r="I13" s="23">
        <f>IF(Assumptions!H$41&gt;0,MAX(1,ROUNDDOWN(Assumptions!H$41*Assumptions!$B$6,0)),0)</f>
        <v/>
      </c>
      <c r="J13" s="23">
        <f>IF(Assumptions!I$41&gt;0,MAX(1,ROUNDDOWN(Assumptions!I$41*Assumptions!$B$6,0)),0)</f>
        <v/>
      </c>
      <c r="K13" s="23">
        <f>IF(Assumptions!J$41&gt;0,MAX(1,ROUNDDOWN(Assumptions!J$41*Assumptions!$B$6,0)),0)</f>
        <v/>
      </c>
      <c r="L13" s="23">
        <f>IF(Assumptions!K$41&gt;0,MAX(1,ROUNDDOWN(Assumptions!K$41*Assumptions!$B$6,0)),0)</f>
        <v/>
      </c>
      <c r="M13" s="23">
        <f>IF(Assumptions!L$41&gt;0,MAX(1,ROUNDDOWN(Assumptions!L$41*Assumptions!$B$6,0)),0)</f>
        <v/>
      </c>
      <c r="N13" s="23">
        <f>IF(Assumptions!M$41&gt;0,MAX(1,ROUNDDOWN(Assumptions!M$41*Assumptions!$B$6,0)),0)</f>
        <v/>
      </c>
      <c r="O13" s="23">
        <f>SUM(B13:N13)</f>
        <v/>
      </c>
    </row>
    <row r="14">
      <c r="A14" s="21" t="inlineStr">
        <is>
          <t>Active GPS trackers</t>
        </is>
      </c>
      <c r="B14" s="23" t="n"/>
      <c r="C14" s="23">
        <f>SUM($C$13:C13)</f>
        <v/>
      </c>
      <c r="D14" s="23">
        <f>SUM($C$13:D13)</f>
        <v/>
      </c>
      <c r="E14" s="23">
        <f>SUM($C$13:E13)</f>
        <v/>
      </c>
      <c r="F14" s="23">
        <f>SUM($C$13:F13)</f>
        <v/>
      </c>
      <c r="G14" s="23">
        <f>SUM($C$13:G13)</f>
        <v/>
      </c>
      <c r="H14" s="23">
        <f>SUM($C$13:H13)</f>
        <v/>
      </c>
      <c r="I14" s="23">
        <f>SUM($C$13:I13)</f>
        <v/>
      </c>
      <c r="J14" s="23">
        <f>SUM($C$13:J13)</f>
        <v/>
      </c>
      <c r="K14" s="23">
        <f>SUM($C$13:K13)</f>
        <v/>
      </c>
      <c r="L14" s="23">
        <f>SUM($C$13:L13)</f>
        <v/>
      </c>
      <c r="M14" s="23">
        <f>SUM($C$13:M13)</f>
        <v/>
      </c>
      <c r="N14" s="23">
        <f>SUM($C$13:N13)</f>
        <v/>
      </c>
      <c r="O14" s="23" t="n"/>
    </row>
    <row r="15">
      <c r="A15" s="21" t="inlineStr">
        <is>
          <t>Hardware profit</t>
        </is>
      </c>
      <c r="B15" s="25" t="n"/>
      <c r="C15" s="25">
        <f>C12*Assumptions!$B$20+C13*Assumptions!$B$21+C14*Assumptions!$B$22</f>
        <v/>
      </c>
      <c r="D15" s="25">
        <f>D12*Assumptions!$B$20+D13*Assumptions!$B$21+D14*Assumptions!$B$22</f>
        <v/>
      </c>
      <c r="E15" s="25">
        <f>E12*Assumptions!$B$20+E13*Assumptions!$B$21+E14*Assumptions!$B$22</f>
        <v/>
      </c>
      <c r="F15" s="25">
        <f>F12*Assumptions!$B$20+F13*Assumptions!$B$21+F14*Assumptions!$B$22</f>
        <v/>
      </c>
      <c r="G15" s="25">
        <f>G12*Assumptions!$B$20+G13*Assumptions!$B$21+G14*Assumptions!$B$22</f>
        <v/>
      </c>
      <c r="H15" s="25">
        <f>H12*Assumptions!$B$20+H13*Assumptions!$B$21+H14*Assumptions!$B$22</f>
        <v/>
      </c>
      <c r="I15" s="25">
        <f>I12*Assumptions!$B$20+I13*Assumptions!$B$21+I14*Assumptions!$B$22</f>
        <v/>
      </c>
      <c r="J15" s="25">
        <f>J12*Assumptions!$B$20+J13*Assumptions!$B$21+J14*Assumptions!$B$22</f>
        <v/>
      </c>
      <c r="K15" s="25">
        <f>K12*Assumptions!$B$20+K13*Assumptions!$B$21+K14*Assumptions!$B$22</f>
        <v/>
      </c>
      <c r="L15" s="25">
        <f>L12*Assumptions!$B$20+L13*Assumptions!$B$21+L14*Assumptions!$B$22</f>
        <v/>
      </c>
      <c r="M15" s="25">
        <f>M12*Assumptions!$B$20+M13*Assumptions!$B$21+M14*Assumptions!$B$22</f>
        <v/>
      </c>
      <c r="N15" s="25">
        <f>N12*Assumptions!$B$20+N13*Assumptions!$B$21+N14*Assumptions!$B$22</f>
        <v/>
      </c>
      <c r="O15" s="25">
        <f>SUM(B15:N15)</f>
        <v/>
      </c>
    </row>
    <row r="16">
      <c r="A16" s="26" t="inlineStr">
        <is>
          <t>Total money in</t>
        </is>
      </c>
      <c r="B16" s="27" t="n">
        <v>0</v>
      </c>
      <c r="C16" s="27">
        <f>C9+C11+C15</f>
        <v/>
      </c>
      <c r="D16" s="27">
        <f>D9+D11+D15</f>
        <v/>
      </c>
      <c r="E16" s="27">
        <f>E9+E11+E15</f>
        <v/>
      </c>
      <c r="F16" s="27">
        <f>F9+F11+F15</f>
        <v/>
      </c>
      <c r="G16" s="27">
        <f>G9+G11+G15</f>
        <v/>
      </c>
      <c r="H16" s="27">
        <f>H9+H11+H15</f>
        <v/>
      </c>
      <c r="I16" s="27">
        <f>I9+I11+I15</f>
        <v/>
      </c>
      <c r="J16" s="27">
        <f>J9+J11+J15</f>
        <v/>
      </c>
      <c r="K16" s="27">
        <f>K9+K11+K15</f>
        <v/>
      </c>
      <c r="L16" s="27">
        <f>L9+L11+L15</f>
        <v/>
      </c>
      <c r="M16" s="27">
        <f>M9+M11+M15</f>
        <v/>
      </c>
      <c r="N16" s="27">
        <f>N9+N11+N15</f>
        <v/>
      </c>
      <c r="O16" s="27">
        <f>SUM(B16:N16)</f>
        <v/>
      </c>
    </row>
    <row r="17">
      <c r="A17" s="21" t="inlineStr">
        <is>
          <t>Fixed costs</t>
        </is>
      </c>
      <c r="B17" s="25" t="n"/>
      <c r="C17" s="25">
        <f>-IF(Assumptions!$B$7=1,Assumptions!B$43,Assumptions!B$42)</f>
        <v/>
      </c>
      <c r="D17" s="25">
        <f>-IF(Assumptions!$B$7=1,Assumptions!C$43,Assumptions!C$42)</f>
        <v/>
      </c>
      <c r="E17" s="25">
        <f>-IF(Assumptions!$B$7=1,Assumptions!D$43,Assumptions!D$42)</f>
        <v/>
      </c>
      <c r="F17" s="25">
        <f>-IF(Assumptions!$B$7=1,Assumptions!E$43,Assumptions!E$42)</f>
        <v/>
      </c>
      <c r="G17" s="25">
        <f>-IF(Assumptions!$B$7=1,Assumptions!F$43,Assumptions!F$42)</f>
        <v/>
      </c>
      <c r="H17" s="25">
        <f>-IF(Assumptions!$B$7=1,Assumptions!G$43,Assumptions!G$42)</f>
        <v/>
      </c>
      <c r="I17" s="25">
        <f>-IF(Assumptions!$B$7=1,Assumptions!H$43,Assumptions!H$42)</f>
        <v/>
      </c>
      <c r="J17" s="25">
        <f>-IF(Assumptions!$B$7=1,Assumptions!I$43,Assumptions!I$42)</f>
        <v/>
      </c>
      <c r="K17" s="25">
        <f>-IF(Assumptions!$B$7=1,Assumptions!J$43,Assumptions!J$42)</f>
        <v/>
      </c>
      <c r="L17" s="25">
        <f>-IF(Assumptions!$B$7=1,Assumptions!K$43,Assumptions!K$42)</f>
        <v/>
      </c>
      <c r="M17" s="25">
        <f>-IF(Assumptions!$B$7=1,Assumptions!L$43,Assumptions!L$42)</f>
        <v/>
      </c>
      <c r="N17" s="25">
        <f>-IF(Assumptions!$B$7=1,Assumptions!M$43,Assumptions!M$42)</f>
        <v/>
      </c>
      <c r="O17" s="25">
        <f>SUM(B17:N17)</f>
        <v/>
      </c>
    </row>
    <row r="18">
      <c r="A18" s="21" t="inlineStr">
        <is>
          <t>One-off costs</t>
        </is>
      </c>
      <c r="B18" s="25">
        <f>-Assumptions!$B$32</f>
        <v/>
      </c>
      <c r="C18" s="25">
        <f>IF(AND(C$4=Assumptions!$B$34,Assumptions!$B$8=1),-Assumptions!$B$33,0)</f>
        <v/>
      </c>
      <c r="D18" s="25">
        <f>IF(AND(D$4=Assumptions!$B$34,Assumptions!$B$8=1),-Assumptions!$B$33,0)</f>
        <v/>
      </c>
      <c r="E18" s="25">
        <f>IF(AND(E$4=Assumptions!$B$34,Assumptions!$B$8=1),-Assumptions!$B$33,0)</f>
        <v/>
      </c>
      <c r="F18" s="25">
        <f>IF(AND(F$4=Assumptions!$B$34,Assumptions!$B$8=1),-Assumptions!$B$33,0)</f>
        <v/>
      </c>
      <c r="G18" s="25">
        <f>IF(AND(G$4=Assumptions!$B$34,Assumptions!$B$8=1),-Assumptions!$B$33,0)</f>
        <v/>
      </c>
      <c r="H18" s="25">
        <f>IF(AND(H$4=Assumptions!$B$34,Assumptions!$B$8=1),-Assumptions!$B$33,0)</f>
        <v/>
      </c>
      <c r="I18" s="25">
        <f>IF(AND(I$4=Assumptions!$B$34,Assumptions!$B$8=1),-Assumptions!$B$33,0)</f>
        <v/>
      </c>
      <c r="J18" s="25">
        <f>IF(AND(J$4=Assumptions!$B$34,Assumptions!$B$8=1),-Assumptions!$B$33,0)</f>
        <v/>
      </c>
      <c r="K18" s="25">
        <f>IF(AND(K$4=Assumptions!$B$34,Assumptions!$B$8=1),-Assumptions!$B$33,0)</f>
        <v/>
      </c>
      <c r="L18" s="25">
        <f>IF(AND(L$4=Assumptions!$B$34,Assumptions!$B$8=1),-Assumptions!$B$33,0)</f>
        <v/>
      </c>
      <c r="M18" s="25">
        <f>IF(AND(M$4=Assumptions!$B$34,Assumptions!$B$8=1),-Assumptions!$B$33,0)</f>
        <v/>
      </c>
      <c r="N18" s="25">
        <f>IF(AND(N$4=Assumptions!$B$34,Assumptions!$B$8=1),-Assumptions!$B$33,0)</f>
        <v/>
      </c>
      <c r="O18" s="25">
        <f>SUM(B18:N18)</f>
        <v/>
      </c>
    </row>
    <row r="19">
      <c r="A19" s="26" t="inlineStr">
        <is>
          <t>Net cash this month</t>
        </is>
      </c>
      <c r="B19" s="16">
        <f>B16+B17+B18</f>
        <v/>
      </c>
      <c r="C19" s="16">
        <f>C16+C17+C18</f>
        <v/>
      </c>
      <c r="D19" s="16">
        <f>D16+D17+D18</f>
        <v/>
      </c>
      <c r="E19" s="16">
        <f>E16+E17+E18</f>
        <v/>
      </c>
      <c r="F19" s="16">
        <f>F16+F17+F18</f>
        <v/>
      </c>
      <c r="G19" s="16">
        <f>G16+G17+G18</f>
        <v/>
      </c>
      <c r="H19" s="16">
        <f>H16+H17+H18</f>
        <v/>
      </c>
      <c r="I19" s="16">
        <f>I16+I17+I18</f>
        <v/>
      </c>
      <c r="J19" s="16">
        <f>J16+J17+J18</f>
        <v/>
      </c>
      <c r="K19" s="16">
        <f>K16+K17+K18</f>
        <v/>
      </c>
      <c r="L19" s="16">
        <f>L16+L17+L18</f>
        <v/>
      </c>
      <c r="M19" s="16">
        <f>M16+M17+M18</f>
        <v/>
      </c>
      <c r="N19" s="16">
        <f>N16+N17+N18</f>
        <v/>
      </c>
      <c r="O19" s="16">
        <f>SUM(B19:N19)</f>
        <v/>
      </c>
    </row>
    <row r="20">
      <c r="A20" s="26" t="inlineStr">
        <is>
          <t>Running cash position</t>
        </is>
      </c>
      <c r="B20" s="27">
        <f>B19</f>
        <v/>
      </c>
      <c r="C20" s="27">
        <f>B20+C19</f>
        <v/>
      </c>
      <c r="D20" s="27">
        <f>C20+D19</f>
        <v/>
      </c>
      <c r="E20" s="27">
        <f>D20+E19</f>
        <v/>
      </c>
      <c r="F20" s="27">
        <f>E20+F19</f>
        <v/>
      </c>
      <c r="G20" s="27">
        <f>F20+G19</f>
        <v/>
      </c>
      <c r="H20" s="27">
        <f>G20+H19</f>
        <v/>
      </c>
      <c r="I20" s="27">
        <f>H20+I19</f>
        <v/>
      </c>
      <c r="J20" s="27">
        <f>I20+J19</f>
        <v/>
      </c>
      <c r="K20" s="27">
        <f>J20+K19</f>
        <v/>
      </c>
      <c r="L20" s="27">
        <f>K20+L19</f>
        <v/>
      </c>
      <c r="M20" s="27">
        <f>L20+M19</f>
        <v/>
      </c>
      <c r="N20" s="27">
        <f>M20+N19</f>
        <v/>
      </c>
      <c r="O20" s="27">
        <f>N20</f>
        <v/>
      </c>
    </row>
    <row r="21">
      <c r="A21" s="21" t="inlineStr">
        <is>
          <t>Cash position back above zero (month)</t>
        </is>
      </c>
      <c r="B21" s="23" t="n"/>
      <c r="C21" s="23">
        <f>IF(AND(C20&gt;=0,B20&lt;0),C$4,"")</f>
        <v/>
      </c>
      <c r="D21" s="23">
        <f>IF(AND(D20&gt;=0,C20&lt;0),D$4,"")</f>
        <v/>
      </c>
      <c r="E21" s="23">
        <f>IF(AND(E20&gt;=0,D20&lt;0),E$4,"")</f>
        <v/>
      </c>
      <c r="F21" s="23">
        <f>IF(AND(F20&gt;=0,E20&lt;0),F$4,"")</f>
        <v/>
      </c>
      <c r="G21" s="23">
        <f>IF(AND(G20&gt;=0,F20&lt;0),G$4,"")</f>
        <v/>
      </c>
      <c r="H21" s="23">
        <f>IF(AND(H20&gt;=0,G20&lt;0),H$4,"")</f>
        <v/>
      </c>
      <c r="I21" s="23">
        <f>IF(AND(I20&gt;=0,H20&lt;0),I$4,"")</f>
        <v/>
      </c>
      <c r="J21" s="23">
        <f>IF(AND(J20&gt;=0,I20&lt;0),J$4,"")</f>
        <v/>
      </c>
      <c r="K21" s="23">
        <f>IF(AND(K20&gt;=0,J20&lt;0),K$4,"")</f>
        <v/>
      </c>
      <c r="L21" s="23">
        <f>IF(AND(L20&gt;=0,K20&lt;0),L$4,"")</f>
        <v/>
      </c>
      <c r="M21" s="23">
        <f>IF(AND(M20&gt;=0,L20&lt;0),M$4,"")</f>
        <v/>
      </c>
      <c r="N21" s="23">
        <f>IF(AND(N20&gt;=0,M20&lt;0),N$4,"")</f>
        <v/>
      </c>
      <c r="O21" s="2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1" t="inlineStr">
        <is>
          <t>Unit economics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One app trip, after the pilot (RM)</t>
        </is>
      </c>
      <c r="B3" s="2" t="n"/>
      <c r="C3" s="2" t="n"/>
    </row>
    <row r="4">
      <c r="A4" s="2" t="inlineStr">
        <is>
          <t>Trip price</t>
        </is>
      </c>
      <c r="B4" s="28">
        <f>Assumptions!B11</f>
        <v/>
      </c>
      <c r="C4" s="2" t="n"/>
    </row>
    <row r="5">
      <c r="A5" s="2" t="inlineStr">
        <is>
          <t>Booking fee (customer pays Kar)</t>
        </is>
      </c>
      <c r="B5" s="28">
        <f>MAX(Assumptions!B11*Assumptions!B12,Assumptions!B13)</f>
        <v/>
      </c>
      <c r="C5" s="2" t="n"/>
    </row>
    <row r="6">
      <c r="A6" s="2" t="inlineStr">
        <is>
          <t>Commission (operator pays Kar)</t>
        </is>
      </c>
      <c r="B6" s="28">
        <f>Assumptions!B11*Assumptions!B14</f>
        <v/>
      </c>
      <c r="C6" s="2" t="n"/>
    </row>
    <row r="7">
      <c r="A7" s="2" t="inlineStr">
        <is>
          <t>Small fees</t>
        </is>
      </c>
      <c r="B7" s="28">
        <f>Assumptions!B16</f>
        <v/>
      </c>
      <c r="C7" s="2" t="n"/>
    </row>
    <row r="8">
      <c r="A8" s="2" t="inlineStr">
        <is>
          <t>Payment gateway</t>
        </is>
      </c>
      <c r="B8" s="28">
        <f>-Assumptions!B17</f>
        <v/>
      </c>
      <c r="C8" s="2" t="n"/>
    </row>
    <row r="9">
      <c r="A9" s="2" t="inlineStr">
        <is>
          <t>Reserve</t>
        </is>
      </c>
      <c r="B9" s="28">
        <f>-Assumptions!B11*Assumptions!B18</f>
        <v/>
      </c>
      <c r="C9" s="2" t="n"/>
    </row>
    <row r="10">
      <c r="A10" s="4" t="inlineStr">
        <is>
          <t>Kar keeps per trip</t>
        </is>
      </c>
      <c r="B10" s="29">
        <f>SUM(B5:B9)</f>
        <v/>
      </c>
      <c r="C10" s="2" t="n"/>
    </row>
    <row r="11">
      <c r="A11" s="2" t="inlineStr">
        <is>
          <t>Operator receives</t>
        </is>
      </c>
      <c r="B11" s="24">
        <f>B4-B6</f>
        <v/>
      </c>
      <c r="C11" s="2" t="n"/>
    </row>
    <row r="12">
      <c r="A12" s="2" t="n"/>
      <c r="B12" s="2" t="n"/>
      <c r="C12" s="2" t="n"/>
    </row>
    <row r="13">
      <c r="A13" s="4" t="inlineStr">
        <is>
          <t>What Kar keeps per trip, by average trip price</t>
        </is>
      </c>
      <c r="B13" s="2" t="n"/>
      <c r="C13" s="2" t="n"/>
    </row>
    <row r="14">
      <c r="A14" s="18" t="inlineStr">
        <is>
          <t>Trip price (RM)</t>
        </is>
      </c>
      <c r="B14" s="19" t="inlineStr">
        <is>
          <t>Kar keeps (RM)</t>
        </is>
      </c>
      <c r="C14" s="2" t="n"/>
    </row>
    <row r="15">
      <c r="A15" s="12" t="n">
        <v>20</v>
      </c>
      <c r="B15" s="24">
        <f>MAX(A15*Assumptions!$B$12,Assumptions!$B$13)+A15*Assumptions!$B$14+Assumptions!$B$16-Assumptions!$B$17-A15*Assumptions!$B$18</f>
        <v/>
      </c>
      <c r="C15" s="2" t="n"/>
    </row>
    <row r="16">
      <c r="A16" s="12" t="n">
        <v>40</v>
      </c>
      <c r="B16" s="24">
        <f>MAX(A16*Assumptions!$B$12,Assumptions!$B$13)+A16*Assumptions!$B$14+Assumptions!$B$16-Assumptions!$B$17-A16*Assumptions!$B$18</f>
        <v/>
      </c>
      <c r="C16" s="2" t="n"/>
    </row>
    <row r="17">
      <c r="A17" s="12" t="n">
        <v>60</v>
      </c>
      <c r="B17" s="24">
        <f>MAX(A17*Assumptions!$B$12,Assumptions!$B$13)+A17*Assumptions!$B$14+Assumptions!$B$16-Assumptions!$B$17-A17*Assumptions!$B$18</f>
        <v/>
      </c>
      <c r="C17" s="2" t="n"/>
    </row>
    <row r="18">
      <c r="A18" s="12" t="n">
        <v>80</v>
      </c>
      <c r="B18" s="24">
        <f>MAX(A18*Assumptions!$B$12,Assumptions!$B$13)+A18*Assumptions!$B$14+Assumptions!$B$16-Assumptions!$B$17-A18*Assumptions!$B$18</f>
        <v/>
      </c>
      <c r="C18" s="2" t="n"/>
    </row>
    <row r="19">
      <c r="A19" s="12" t="n">
        <v>100</v>
      </c>
      <c r="B19" s="24">
        <f>MAX(A19*Assumptions!$B$12,Assumptions!$B$13)+A19*Assumptions!$B$14+Assumptions!$B$16-Assumptions!$B$17-A19*Assumptions!$B$18</f>
        <v/>
      </c>
      <c r="C19" s="2" t="n"/>
    </row>
    <row r="20">
      <c r="A20" s="12" t="n">
        <v>150</v>
      </c>
      <c r="B20" s="24">
        <f>MAX(A20*Assumptions!$B$12,Assumptions!$B$13)+A20*Assumptions!$B$14+Assumptions!$B$16-Assumptions!$B$17-A20*Assumptions!$B$18</f>
        <v/>
      </c>
      <c r="C20" s="2" t="n"/>
    </row>
    <row r="21">
      <c r="A21" s="2" t="n"/>
      <c r="B21" s="2" t="n"/>
      <c r="C21" s="2" t="n"/>
    </row>
    <row r="22">
      <c r="A22" s="4" t="inlineStr">
        <is>
          <t>Break-even: app trips per month needed to cover fixed costs</t>
        </is>
      </c>
      <c r="B22" s="2" t="n"/>
      <c r="C22" s="2" t="n"/>
    </row>
    <row r="23">
      <c r="A23" s="2" t="inlineStr">
        <is>
          <t>Monthly fixed costs (RM)</t>
        </is>
      </c>
      <c r="B23" s="30">
        <f>Assumptions!M42</f>
        <v/>
      </c>
      <c r="C23" s="2" t="n"/>
    </row>
    <row r="24">
      <c r="A24" s="18" t="inlineStr">
        <is>
          <t>Paying Pro operators</t>
        </is>
      </c>
      <c r="B24" s="19" t="inlineStr">
        <is>
          <t>Subscriptions (RM)</t>
        </is>
      </c>
      <c r="C24" s="19" t="inlineStr">
        <is>
          <t>App trips needed</t>
        </is>
      </c>
    </row>
    <row r="25">
      <c r="A25" s="17" t="n">
        <v>0</v>
      </c>
      <c r="B25" s="25">
        <f>A25*Assumptions!$B$19</f>
        <v/>
      </c>
      <c r="C25" s="23">
        <f>IF($B$10&gt;0,ROUNDUP(MAX(0,$B$23-B25)/$B$10,0),"n/a")</f>
        <v/>
      </c>
    </row>
    <row r="26">
      <c r="A26" s="17" t="n">
        <v>5</v>
      </c>
      <c r="B26" s="25">
        <f>A26*Assumptions!$B$19</f>
        <v/>
      </c>
      <c r="C26" s="23">
        <f>IF($B$10&gt;0,ROUNDUP(MAX(0,$B$23-B26)/$B$10,0),"n/a")</f>
        <v/>
      </c>
    </row>
    <row r="27">
      <c r="A27" s="17" t="n">
        <v>10</v>
      </c>
      <c r="B27" s="25">
        <f>A27*Assumptions!$B$19</f>
        <v/>
      </c>
      <c r="C27" s="23">
        <f>IF($B$10&gt;0,ROUNDUP(MAX(0,$B$23-B27)/$B$10,0),"n/a")</f>
        <v/>
      </c>
    </row>
    <row r="28">
      <c r="A28" s="17" t="n">
        <v>15</v>
      </c>
      <c r="B28" s="25">
        <f>A28*Assumptions!$B$19</f>
        <v/>
      </c>
      <c r="C28" s="23">
        <f>IF($B$10&gt;0,ROUNDUP(MAX(0,$B$23-B28)/$B$10,0),"n/a")</f>
        <v/>
      </c>
    </row>
    <row r="29">
      <c r="A29" s="17" t="n">
        <v>20</v>
      </c>
      <c r="B29" s="25">
        <f>A29*Assumptions!$B$19</f>
        <v/>
      </c>
      <c r="C29" s="23">
        <f>IF($B$10&gt;0,ROUNDUP(MAX(0,$B$23-B29)/$B$10,0),"n/a")</f>
        <v/>
      </c>
    </row>
    <row r="30">
      <c r="A30" s="17" t="n">
        <v>30</v>
      </c>
      <c r="B30" s="25">
        <f>A30*Assumptions!$B$19</f>
        <v/>
      </c>
      <c r="C30" s="23">
        <f>IF($B$10&gt;0,ROUNDUP(MAX(0,$B$23-B30)/$B$10,0),"n/a")</f>
        <v/>
      </c>
    </row>
    <row r="31">
      <c r="A31" s="2" t="n"/>
      <c r="B31" s="2" t="n"/>
      <c r="C31" s="2" t="n"/>
    </row>
    <row r="32">
      <c r="A32" s="3" t="inlineStr">
        <is>
          <t>Hardware profit is excluded here, which makes this a conservative estimate.</t>
        </is>
      </c>
      <c r="B32" s="2" t="n"/>
      <c r="C3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Capital plan</t>
        </is>
      </c>
      <c r="B1" s="2" t="n"/>
    </row>
    <row r="2">
      <c r="A2" s="7">
        <f>"Scenario: "&amp;Assumptions!B3</f>
        <v/>
      </c>
      <c r="B2" s="2" t="n"/>
    </row>
    <row r="3">
      <c r="A3" s="2" t="n"/>
      <c r="B3" s="2" t="n"/>
    </row>
    <row r="4">
      <c r="A4" s="2" t="inlineStr">
        <is>
          <t>Lowest cash position in year 1 (RM)</t>
        </is>
      </c>
      <c r="B4" s="30">
        <f>-MIN('Cash Flow'!B20:N20)</f>
        <v/>
      </c>
    </row>
    <row r="5">
      <c r="A5" s="2" t="inlineStr">
        <is>
          <t>Month of lowest cash position</t>
        </is>
      </c>
      <c r="B5" s="31">
        <f>INDEX('Cash Flow'!B4:N4,MATCH(MIN('Cash Flow'!B20:N20),'Cash Flow'!B20:N20,0))</f>
        <v/>
      </c>
    </row>
    <row r="6">
      <c r="A6" s="2" t="inlineStr">
        <is>
          <t>Month cash is back above zero</t>
        </is>
      </c>
      <c r="B6" s="31">
        <f>IF(COUNT('Cash Flow'!C21:N21)=0,"Not in year 1",MIN('Cash Flow'!C21:N21))</f>
        <v/>
      </c>
    </row>
    <row r="7">
      <c r="A7" s="2" t="inlineStr">
        <is>
          <t>Year 1 profit (RM)</t>
        </is>
      </c>
      <c r="B7" s="30">
        <f>'Cash Flow'!N20</f>
        <v/>
      </c>
    </row>
    <row r="8">
      <c r="A8" s="2" t="n"/>
      <c r="B8" s="2" t="n"/>
    </row>
    <row r="9">
      <c r="A9" s="4" t="inlineStr">
        <is>
          <t>Recommended starting capital</t>
        </is>
      </c>
      <c r="B9" s="2" t="n"/>
    </row>
    <row r="10">
      <c r="A10" s="2" t="inlineStr">
        <is>
          <t>Cover the lowest cash position</t>
        </is>
      </c>
      <c r="B10" s="32">
        <f>B4</f>
        <v/>
      </c>
    </row>
    <row r="11">
      <c r="A11" s="2" t="inlineStr">
        <is>
          <t>Claims and goodwill reserve (one bad incident)</t>
        </is>
      </c>
      <c r="B11" s="12" t="n">
        <v>3000</v>
      </c>
    </row>
    <row r="12">
      <c r="A12" s="2" t="inlineStr">
        <is>
          <t>Contingency (~1 month of costs)</t>
        </is>
      </c>
      <c r="B12" s="30">
        <f>Assumptions!M42</f>
        <v/>
      </c>
    </row>
    <row r="13">
      <c r="A13" s="4" t="inlineStr">
        <is>
          <t>Recommended capital</t>
        </is>
      </c>
      <c r="B13" s="33">
        <f>SUM(B10:B12)</f>
        <v/>
      </c>
    </row>
    <row r="14">
      <c r="A14" s="2" t="n"/>
      <c r="B14" s="2" t="n"/>
    </row>
    <row r="15">
      <c r="A15" s="4" t="inlineStr">
        <is>
          <t>Where the money can come from</t>
        </is>
      </c>
      <c r="B15" s="2" t="n"/>
    </row>
    <row r="16">
      <c r="A16" s="2" t="inlineStr">
        <is>
          <t>• Own savings or the partnership (Vendor Vision Solutions)</t>
        </is>
      </c>
      <c r="B16" s="2" t="n"/>
    </row>
    <row r="17">
      <c r="A17" s="2" t="inlineStr">
        <is>
          <t>• UTP incubator / entrepreneurship centre</t>
        </is>
      </c>
      <c r="B17" s="2" t="n"/>
    </row>
    <row r="18">
      <c r="A18" s="2" t="inlineStr">
        <is>
          <t>• Cradle CIP grants, MRANTI programmes (check current amounts and when applications open)</t>
        </is>
      </c>
      <c r="B18" s="2" t="n"/>
    </row>
    <row r="19">
      <c r="A19" s="2" t="inlineStr">
        <is>
          <t>• Pre-selling key boxes to operators (cash in before Kar spends it)</t>
        </is>
      </c>
      <c r="B19" s="2" t="n"/>
    </row>
    <row r="20">
      <c r="A20" s="2" t="inlineStr">
        <is>
          <t>• Avoid giving away equity for under RM20k at this stage</t>
        </is>
      </c>
      <c r="B2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Scenario levers</t>
        </is>
      </c>
      <c r="B1" s="2" t="n"/>
      <c r="C1" s="2" t="n"/>
      <c r="D1" s="2" t="n"/>
      <c r="E1" s="2" t="n"/>
      <c r="F1" s="2" t="n"/>
    </row>
    <row r="2">
      <c r="A2" s="2" t="inlineStr">
        <is>
          <t>Pick the active scenario on the Assumptions sheet (cell B3). Blue cells are editable.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8" t="inlineStr">
        <is>
          <t>Scenario</t>
        </is>
      </c>
      <c r="B4" s="19" t="inlineStr">
        <is>
          <t>Trips multiplier</t>
        </is>
      </c>
      <c r="C4" s="19" t="inlineStr">
        <is>
          <t>Pro operators multiplier</t>
        </is>
      </c>
      <c r="D4" s="19" t="inlineStr">
        <is>
          <t>Hardware multiplier</t>
        </is>
      </c>
      <c r="E4" s="19" t="inlineStr">
        <is>
          <t>Lean fixed costs (1 = yes)</t>
        </is>
      </c>
      <c r="F4" s="19" t="inlineStr">
        <is>
          <t>Register Sdn Bhd (1 = yes)</t>
        </is>
      </c>
    </row>
    <row r="5">
      <c r="A5" s="22" t="inlineStr">
        <is>
          <t>Worst</t>
        </is>
      </c>
      <c r="B5" s="34" t="n">
        <v>0.5</v>
      </c>
      <c r="C5" s="34" t="n">
        <v>0.5</v>
      </c>
      <c r="D5" s="34" t="n">
        <v>0.5</v>
      </c>
      <c r="E5" s="17" t="n">
        <v>1</v>
      </c>
      <c r="F5" s="17" t="n">
        <v>0</v>
      </c>
    </row>
    <row r="6">
      <c r="A6" s="22" t="inlineStr">
        <is>
          <t>Base</t>
        </is>
      </c>
      <c r="B6" s="34" t="n">
        <v>1</v>
      </c>
      <c r="C6" s="34" t="n">
        <v>1</v>
      </c>
      <c r="D6" s="34" t="n">
        <v>1</v>
      </c>
      <c r="E6" s="17" t="n">
        <v>0</v>
      </c>
      <c r="F6" s="17" t="n">
        <v>1</v>
      </c>
    </row>
    <row r="7">
      <c r="A7" s="22" t="inlineStr">
        <is>
          <t>Best</t>
        </is>
      </c>
      <c r="B7" s="34" t="n">
        <v>1.5</v>
      </c>
      <c r="C7" s="34" t="n">
        <v>1.5</v>
      </c>
      <c r="D7" s="34" t="n">
        <v>1</v>
      </c>
      <c r="E7" s="17" t="n">
        <v>0</v>
      </c>
      <c r="F7" s="17" t="n">
        <v>1</v>
      </c>
    </row>
    <row r="8">
      <c r="A8" s="2" t="n"/>
      <c r="B8" s="2" t="n"/>
      <c r="C8" s="2" t="n"/>
      <c r="D8" s="2" t="n"/>
      <c r="E8" s="2" t="n"/>
      <c r="F8" s="2" t="n"/>
    </row>
    <row r="9" ht="45" customHeight="1">
      <c r="A9" s="20" t="inlineStr">
        <is>
          <t>Worst = half the trips, operators and hardware sales, lean costs (RM900/month to month 6, RM1,800 after), no Sdn Bhd. Best = 1.5x trips and operators. Source: Kar planning estimates (Oct 2026), not real data yet.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2026-10-12T20:25:41Z</dcterms:created>
  <dcterms:modified xsi:type="dcterms:W3CDTF">2026-10-12T20:25:41Z</dcterms:modified>
</cp:coreProperties>
</file>